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mc:AlternateContent xmlns:mc="http://schemas.openxmlformats.org/markup-compatibility/2006">
    <mc:Choice Requires="x15">
      <x15ac:absPath xmlns:x15ac="http://schemas.microsoft.com/office/spreadsheetml/2010/11/ac" url="/Users/gcforage/Desktop/Forage Working Docs/Siemens/Operations Engineer/"/>
    </mc:Choice>
  </mc:AlternateContent>
  <xr:revisionPtr revIDLastSave="0" documentId="8_{26ED127E-1BEE-4797-A3BD-09B2C3E08F12}" xr6:coauthVersionLast="47" xr6:coauthVersionMax="47" xr10:uidLastSave="{00000000-0000-0000-0000-000000000000}"/>
  <bookViews>
    <workbookView xWindow="3120" yWindow="500" windowWidth="30960" windowHeight="19860" xr2:uid="{39EEBCFD-057A-8249-B43F-848C787B65F8}"/>
  </bookViews>
  <sheets>
    <sheet name="Aurora Express Time Study" sheetId="1" r:id="rId1"/>
    <sheet name="Findings and Recommendations" sheetId="5"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0" i="1" l="1"/>
  <c r="P11" i="1"/>
  <c r="P12" i="1"/>
  <c r="P13" i="1"/>
  <c r="P14" i="1"/>
  <c r="P15" i="1"/>
  <c r="P16" i="1"/>
  <c r="P17" i="1"/>
  <c r="P18" i="1"/>
  <c r="P19" i="1"/>
  <c r="P20" i="1"/>
  <c r="P21" i="1"/>
  <c r="P22" i="1"/>
  <c r="P23" i="1"/>
  <c r="P24" i="1"/>
  <c r="P25" i="1"/>
  <c r="P26" i="1"/>
  <c r="P27" i="1"/>
  <c r="P28" i="1"/>
  <c r="P9" i="1"/>
  <c r="Q16" i="1"/>
  <c r="Q17" i="1"/>
  <c r="Q18" i="1"/>
  <c r="Q19" i="1"/>
  <c r="Q20" i="1"/>
  <c r="Q21" i="1"/>
  <c r="Q22" i="1"/>
  <c r="Q23" i="1"/>
  <c r="Q24" i="1"/>
  <c r="Q25" i="1"/>
  <c r="Q26" i="1"/>
  <c r="Q27" i="1"/>
  <c r="Q28" i="1"/>
  <c r="Q10" i="1"/>
  <c r="Q11" i="1"/>
  <c r="Q12" i="1"/>
  <c r="Q13" i="1"/>
  <c r="Q14" i="1"/>
  <c r="Q15" i="1"/>
  <c r="Q9" i="1"/>
</calcChain>
</file>

<file path=xl/sharedStrings.xml><?xml version="1.0" encoding="utf-8"?>
<sst xmlns="http://schemas.openxmlformats.org/spreadsheetml/2006/main" count="57" uniqueCount="57">
  <si>
    <t>Recorder</t>
  </si>
  <si>
    <t>Forager</t>
  </si>
  <si>
    <t>Company</t>
  </si>
  <si>
    <t>Siemens Mobility</t>
  </si>
  <si>
    <t>Operator</t>
  </si>
  <si>
    <t>Assembly</t>
  </si>
  <si>
    <t>Aurora Express Wheel</t>
  </si>
  <si>
    <t>Date</t>
  </si>
  <si>
    <t>MM/DD/YYY</t>
  </si>
  <si>
    <t>Units Made</t>
  </si>
  <si>
    <t>No:</t>
  </si>
  <si>
    <t>Element Description</t>
  </si>
  <si>
    <t>Observed Time</t>
  </si>
  <si>
    <t>Average</t>
  </si>
  <si>
    <t>Variance</t>
  </si>
  <si>
    <t>Notes</t>
  </si>
  <si>
    <t>Retrieve wheel components from storage</t>
  </si>
  <si>
    <t>Time varies by storage efficiency and distance.</t>
  </si>
  <si>
    <t>Setup workspace and tools</t>
  </si>
  <si>
    <t>Dependent on organization and availability of tools.</t>
  </si>
  <si>
    <t>Inspect components for defects</t>
  </si>
  <si>
    <t>Critical for quality, variability in defect rates.</t>
  </si>
  <si>
    <t>Assemble hub to wheel frame</t>
  </si>
  <si>
    <t>Precision task, requiring manual dexterity.</t>
  </si>
  <si>
    <t>Secure hub with bolts</t>
  </si>
  <si>
    <t>Utilizes specialized tools; time varies by tool efficiency.</t>
  </si>
  <si>
    <t>Lubricate wheel bearings</t>
  </si>
  <si>
    <t>Standardized process, but slight variations in application technique.</t>
  </si>
  <si>
    <t>Install bearings into hub</t>
  </si>
  <si>
    <t>Requires precision; misalignment can lead to rework.</t>
  </si>
  <si>
    <t>Attach wheel sensors</t>
  </si>
  <si>
    <t>Involves delicate handling and precision placement.</t>
  </si>
  <si>
    <t>Test sensor functionality</t>
  </si>
  <si>
    <t>Critical step, time varies based on sensor performance.</t>
  </si>
  <si>
    <t>Fit brake discs to hub</t>
  </si>
  <si>
    <t>Involves heavy lifting and precise alignment.</t>
  </si>
  <si>
    <t>Install brake calipers</t>
  </si>
  <si>
    <t>Complex assembly with multiple components.</t>
  </si>
  <si>
    <t>Connect brake lines</t>
  </si>
  <si>
    <t>Requires careful routing and secure connections.</t>
  </si>
  <si>
    <t>Bleed brake system</t>
  </si>
  <si>
    <t>Essential for operation; time varies with technique.</t>
  </si>
  <si>
    <t>Mount wheel to axle</t>
  </si>
  <si>
    <t>Heaviest component, requires crane; timing varies by equipment availability.</t>
  </si>
  <si>
    <t>Secure wheel with locking mechanism</t>
  </si>
  <si>
    <t>Critical for safety; involves torque wrench.</t>
  </si>
  <si>
    <t>Conduct wheel alignment</t>
  </si>
  <si>
    <t>Requires specialized equipment; alignment precision is key.</t>
  </si>
  <si>
    <t>Perform functional test of wheel assembly</t>
  </si>
  <si>
    <t>Comprehensive testing, variability in findings.</t>
  </si>
  <si>
    <t>Clean assembly area</t>
  </si>
  <si>
    <t>Essential for maintaining a safe work environment.</t>
  </si>
  <si>
    <t>Document assembly process</t>
  </si>
  <si>
    <t>Required for quality control and future reference.</t>
  </si>
  <si>
    <t>Transport assembly to next section</t>
  </si>
  <si>
    <t>Efficiency depends on workshop layout and transport availability.</t>
  </si>
  <si>
    <r>
      <rPr>
        <b/>
        <sz val="16"/>
        <color theme="1"/>
        <rFont val="Aptos Narrow (Body)"/>
      </rPr>
      <t>Findings and Recommendations</t>
    </r>
    <r>
      <rPr>
        <b/>
        <sz val="12"/>
        <color theme="1"/>
        <rFont val="Aptos Narrow"/>
        <scheme val="minor"/>
      </rPr>
      <t xml:space="preserve">
Identified Patterns and Variations
</t>
    </r>
    <r>
      <rPr>
        <sz val="12"/>
        <color theme="1"/>
        <rFont val="Aptos Narrow"/>
        <scheme val="minor"/>
      </rPr>
      <t>The data reveals that the time taken for tasks varies across different steps, with some steps consistently taking longer than others. The step with the consistently longest duration is a prime candidate for a bottleneck in the process.</t>
    </r>
    <r>
      <rPr>
        <b/>
        <sz val="12"/>
        <color theme="1"/>
        <rFont val="Aptos Narrow"/>
        <scheme val="minor"/>
      </rPr>
      <t xml:space="preserve">
Pinpointed Bottleneck
</t>
    </r>
    <r>
      <rPr>
        <sz val="12"/>
        <color theme="1"/>
        <rFont val="Aptos Narrow"/>
        <scheme val="minor"/>
      </rPr>
      <t>The analysis identified Step 14 as the step with the longest average duration, indicating it as the bottleneck in the assembly process. Factors contributing to delays at this step could include task complexity, reliance on manual operations, or waiting times for equipment.</t>
    </r>
    <r>
      <rPr>
        <b/>
        <sz val="12"/>
        <color theme="1"/>
        <rFont val="Aptos Narrow"/>
        <scheme val="minor"/>
      </rPr>
      <t xml:space="preserve">
Actionable Improvements Proposal
Bottleneck Description: </t>
    </r>
    <r>
      <rPr>
        <sz val="12"/>
        <color theme="1"/>
        <rFont val="Aptos Narrow"/>
        <scheme val="minor"/>
      </rPr>
      <t>Step 14, which involves mounting the wheel to the axle, is the identified bottleneck, having the highest average time due to its reliance on manual labor and equipment availability.</t>
    </r>
    <r>
      <rPr>
        <b/>
        <sz val="12"/>
        <color theme="1"/>
        <rFont val="Aptos Narrow"/>
        <scheme val="minor"/>
      </rPr>
      <t xml:space="preserve">
Actionable Suggestion:</t>
    </r>
    <r>
      <rPr>
        <sz val="12"/>
        <color theme="1"/>
        <rFont val="Aptos Narrow"/>
        <scheme val="minor"/>
      </rPr>
      <t xml:space="preserve"> To alleviate this bottleneck, it's proposed to introduce an automated wheel-mounting system. This system would use robotic arms to lift and position the wheels onto the axle, reducing dependency on manual operations and crane availability.</t>
    </r>
    <r>
      <rPr>
        <b/>
        <sz val="12"/>
        <color theme="1"/>
        <rFont val="Aptos Narrow"/>
        <scheme val="minor"/>
      </rPr>
      <t xml:space="preserve">
Explanation of the Suggestion's Impact: </t>
    </r>
    <r>
      <rPr>
        <sz val="12"/>
        <color theme="1"/>
        <rFont val="Aptos Narrow"/>
        <scheme val="minor"/>
      </rPr>
      <t>Automating Step 14 could significantly reduce the average time by ensuring consistent, swift, and precise wheel mounting. This would not only streamline this particular step but could also improve the flow of the entire assembly process, thereby enhancing overall productivity and reducing cycle times. Implementing this solution would likely have a positive impact on the manufacturing timeline and help in meeting project deadlines more reliably.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</si>
</sst>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2"/>
      <color theme="1"/>
      <name val="Aptos Narrow"/>
      <family val="2"/>
      <scheme val="minor"/>
    </font>
    <font>
      <sz val="8"/>
      <name val="Aptos Narrow"/>
      <family val="2"/>
      <scheme val="minor"/>
    </font>
    <font>
      <b/>
      <sz val="12"/>
      <color theme="1"/>
      <name val="Aptos Narrow"/>
      <scheme val="minor"/>
    </font>
    <font>
      <sz val="10.5"/>
      <color theme="1"/>
      <name val="Arial"/>
      <family val="2"/>
    </font>
    <font>
      <b/>
      <sz val="12"/>
      <color theme="0"/>
      <name val="Aptos Narrow"/>
      <scheme val="minor"/>
    </font>
    <font>
      <sz val="10.5"/>
      <name val="Arial"/>
      <family val="2"/>
    </font>
    <font>
      <sz val="12"/>
      <color theme="1"/>
      <name val="Aptos Narrow"/>
      <scheme val="minor"/>
    </font>
    <font>
      <b/>
      <sz val="16"/>
      <color theme="1"/>
      <name val="Aptos Narrow (Body)"/>
    </font>
  </fonts>
  <fills count="3">
    <fill>
      <patternFill patternType="none"/>
    </fill>
    <fill>
      <patternFill patternType="gray125"/>
    </fill>
    <fill>
      <patternFill patternType="solid">
        <fgColor rgb="FF009899"/>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s>
  <cellStyleXfs count="1">
    <xf numFmtId="0" fontId="0" fillId="0" borderId="0"/>
  </cellStyleXfs>
  <cellXfs count="21">
    <xf numFmtId="0" fontId="0" fillId="0" borderId="0" xfId="0"/>
    <xf numFmtId="0" fontId="0" fillId="0" borderId="1" xfId="0" applyBorder="1"/>
    <xf numFmtId="20" fontId="3" fillId="0" borderId="1" xfId="0" applyNumberFormat="1" applyFont="1" applyBorder="1"/>
    <xf numFmtId="0" fontId="4" fillId="2" borderId="1" xfId="0" applyFont="1" applyFill="1" applyBorder="1"/>
    <xf numFmtId="45" fontId="0" fillId="0" borderId="0" xfId="0" applyNumberFormat="1"/>
    <xf numFmtId="20" fontId="0" fillId="0" borderId="1" xfId="0" applyNumberFormat="1" applyBorder="1"/>
    <xf numFmtId="0" fontId="0" fillId="0" borderId="0" xfId="0" applyAlignment="1">
      <alignment horizontal="center"/>
    </xf>
    <xf numFmtId="0" fontId="4" fillId="2" borderId="1" xfId="0" applyFont="1" applyFill="1" applyBorder="1" applyAlignment="1">
      <alignment horizontal="center"/>
    </xf>
    <xf numFmtId="0" fontId="5" fillId="0" borderId="1" xfId="0" applyFont="1" applyBorder="1" applyAlignment="1">
      <alignment horizontal="left" wrapText="1"/>
    </xf>
    <xf numFmtId="0" fontId="4" fillId="2" borderId="6" xfId="0" applyFont="1" applyFill="1" applyBorder="1" applyAlignment="1">
      <alignment horizontal="center" vertical="center"/>
    </xf>
    <xf numFmtId="0" fontId="4" fillId="2" borderId="2" xfId="0" applyFont="1" applyFill="1" applyBorder="1" applyAlignment="1">
      <alignment horizontal="center" vertical="center"/>
    </xf>
    <xf numFmtId="0" fontId="4" fillId="2" borderId="1" xfId="0" applyFont="1" applyFill="1" applyBorder="1" applyAlignment="1">
      <alignment horizontal="center" vertical="center"/>
    </xf>
    <xf numFmtId="0" fontId="0" fillId="0" borderId="0" xfId="0" applyAlignment="1">
      <alignment horizontal="center"/>
    </xf>
    <xf numFmtId="0" fontId="3" fillId="0" borderId="3" xfId="0" applyFont="1" applyBorder="1" applyAlignment="1">
      <alignment horizontal="center"/>
    </xf>
    <xf numFmtId="0" fontId="3" fillId="0" borderId="4" xfId="0" applyFont="1" applyBorder="1" applyAlignment="1">
      <alignment horizontal="center"/>
    </xf>
    <xf numFmtId="0" fontId="3" fillId="0" borderId="5" xfId="0" applyFont="1" applyBorder="1" applyAlignment="1">
      <alignment horizontal="center"/>
    </xf>
    <xf numFmtId="0" fontId="0" fillId="0" borderId="1" xfId="0" applyBorder="1" applyAlignment="1">
      <alignment horizontal="center"/>
    </xf>
    <xf numFmtId="0" fontId="3" fillId="0" borderId="1" xfId="0" applyFont="1" applyBorder="1" applyAlignment="1">
      <alignment horizontal="center"/>
    </xf>
    <xf numFmtId="0" fontId="4" fillId="2" borderId="1" xfId="0" applyFont="1" applyFill="1" applyBorder="1" applyAlignment="1">
      <alignment horizontal="center"/>
    </xf>
    <xf numFmtId="0" fontId="2" fillId="0" borderId="0" xfId="0" applyFont="1" applyAlignment="1">
      <alignment horizontal="left" vertical="top" wrapText="1"/>
    </xf>
    <xf numFmtId="0" fontId="0" fillId="0" borderId="0" xfId="0" applyAlignment="1">
      <alignment horizontal="left" vertical="top"/>
    </xf>
  </cellXfs>
  <cellStyles count="1">
    <cellStyle name="Normal" xfId="0" builtinId="0"/>
  </cellStyles>
  <dxfs count="0"/>
  <tableStyles count="0" defaultTableStyle="TableStyleMedium2" defaultPivotStyle="PivotStyleLight16"/>
  <colors>
    <mruColors>
      <color rgb="FF0098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12</xdr:col>
      <xdr:colOff>378179</xdr:colOff>
      <xdr:row>0</xdr:row>
      <xdr:rowOff>73025</xdr:rowOff>
    </xdr:from>
    <xdr:to>
      <xdr:col>14</xdr:col>
      <xdr:colOff>762000</xdr:colOff>
      <xdr:row>6</xdr:row>
      <xdr:rowOff>126999</xdr:rowOff>
    </xdr:to>
    <xdr:pic>
      <xdr:nvPicPr>
        <xdr:cNvPr id="2" name="Picture 1" descr="Siemens Logo and symbol, meaning, history, PNG, brand">
          <a:extLst>
            <a:ext uri="{FF2B5EF4-FFF2-40B4-BE49-F238E27FC236}">
              <a16:creationId xmlns:a16="http://schemas.microsoft.com/office/drawing/2014/main" id="{C25887C7-AF5F-36F1-FFC1-A6D3B55CCF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084279" y="73025"/>
          <a:ext cx="2263421" cy="12731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50800</xdr:colOff>
      <xdr:row>34</xdr:row>
      <xdr:rowOff>12700</xdr:rowOff>
    </xdr:from>
    <xdr:to>
      <xdr:col>11</xdr:col>
      <xdr:colOff>663221</xdr:colOff>
      <xdr:row>40</xdr:row>
      <xdr:rowOff>66674</xdr:rowOff>
    </xdr:to>
    <xdr:pic>
      <xdr:nvPicPr>
        <xdr:cNvPr id="2" name="Picture 1" descr="Siemens Logo and symbol, meaning, history, PNG, brand">
          <a:extLst>
            <a:ext uri="{FF2B5EF4-FFF2-40B4-BE49-F238E27FC236}">
              <a16:creationId xmlns:a16="http://schemas.microsoft.com/office/drawing/2014/main" id="{89B19E0A-69A9-5E4E-8574-BA595316D3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480300" y="6921500"/>
          <a:ext cx="2263421" cy="12731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BCD8A-EA57-5743-B181-873CBBB8CEB8}">
  <dimension ref="A3:T41"/>
  <sheetViews>
    <sheetView tabSelected="1" topLeftCell="A15" workbookViewId="0">
      <selection activeCell="P14" sqref="P14"/>
    </sheetView>
  </sheetViews>
  <sheetFormatPr defaultColWidth="11" defaultRowHeight="15.95"/>
  <cols>
    <col min="6" max="14" width="12.375" bestFit="1" customWidth="1"/>
    <col min="15" max="15" width="13.375" bestFit="1" customWidth="1"/>
    <col min="16" max="17" width="13.375" customWidth="1"/>
  </cols>
  <sheetData>
    <row r="3" spans="1:20">
      <c r="B3" s="3" t="s">
        <v>0</v>
      </c>
      <c r="C3" s="16" t="s">
        <v>1</v>
      </c>
      <c r="D3" s="16"/>
      <c r="E3" s="16"/>
      <c r="G3" s="3" t="s">
        <v>2</v>
      </c>
      <c r="H3" s="16" t="s">
        <v>3</v>
      </c>
      <c r="I3" s="16"/>
      <c r="J3" s="16"/>
      <c r="M3" s="12"/>
      <c r="N3" s="12"/>
      <c r="O3" s="12"/>
      <c r="P3" s="6"/>
      <c r="Q3" s="6"/>
    </row>
    <row r="4" spans="1:20">
      <c r="B4" s="3" t="s">
        <v>4</v>
      </c>
      <c r="C4" s="16">
        <v>1</v>
      </c>
      <c r="D4" s="16"/>
      <c r="E4" s="16"/>
      <c r="G4" s="3" t="s">
        <v>5</v>
      </c>
      <c r="H4" s="16" t="s">
        <v>6</v>
      </c>
      <c r="I4" s="16"/>
      <c r="J4" s="16"/>
      <c r="M4" s="12"/>
      <c r="N4" s="12"/>
      <c r="O4" s="12"/>
      <c r="P4" s="6"/>
      <c r="Q4" s="6"/>
    </row>
    <row r="5" spans="1:20">
      <c r="B5" s="3" t="s">
        <v>7</v>
      </c>
      <c r="C5" s="16" t="s">
        <v>8</v>
      </c>
      <c r="D5" s="16"/>
      <c r="E5" s="16"/>
      <c r="G5" s="3" t="s">
        <v>9</v>
      </c>
      <c r="H5" s="16">
        <v>1</v>
      </c>
      <c r="I5" s="16"/>
      <c r="J5" s="16"/>
      <c r="M5" s="12"/>
      <c r="N5" s="12"/>
      <c r="O5" s="12"/>
      <c r="P5" s="6"/>
      <c r="Q5" s="6"/>
    </row>
    <row r="7" spans="1:20">
      <c r="A7" s="11" t="s">
        <v>10</v>
      </c>
      <c r="B7" s="11" t="s">
        <v>11</v>
      </c>
      <c r="C7" s="11"/>
      <c r="D7" s="11"/>
      <c r="E7" s="11"/>
      <c r="F7" s="18" t="s">
        <v>12</v>
      </c>
      <c r="G7" s="18"/>
      <c r="H7" s="18"/>
      <c r="I7" s="18"/>
      <c r="J7" s="18"/>
      <c r="K7" s="18"/>
      <c r="L7" s="18"/>
      <c r="M7" s="18"/>
      <c r="N7" s="18"/>
      <c r="O7" s="18"/>
      <c r="P7" s="9" t="s">
        <v>13</v>
      </c>
      <c r="Q7" s="9" t="s">
        <v>14</v>
      </c>
      <c r="R7" s="11" t="s">
        <v>15</v>
      </c>
      <c r="S7" s="11"/>
      <c r="T7" s="11"/>
    </row>
    <row r="8" spans="1:20">
      <c r="A8" s="11"/>
      <c r="B8" s="11"/>
      <c r="C8" s="11"/>
      <c r="D8" s="11"/>
      <c r="E8" s="11"/>
      <c r="F8" s="7">
        <v>1</v>
      </c>
      <c r="G8" s="7">
        <v>2</v>
      </c>
      <c r="H8" s="7">
        <v>3</v>
      </c>
      <c r="I8" s="7">
        <v>4</v>
      </c>
      <c r="J8" s="7">
        <v>5</v>
      </c>
      <c r="K8" s="7">
        <v>6</v>
      </c>
      <c r="L8" s="7">
        <v>7</v>
      </c>
      <c r="M8" s="7">
        <v>8</v>
      </c>
      <c r="N8" s="7">
        <v>9</v>
      </c>
      <c r="O8" s="7">
        <v>10</v>
      </c>
      <c r="P8" s="10"/>
      <c r="Q8" s="10"/>
      <c r="R8" s="11"/>
      <c r="S8" s="11"/>
      <c r="T8" s="11"/>
    </row>
    <row r="9" spans="1:20" ht="36.950000000000003" customHeight="1">
      <c r="A9" s="1">
        <v>1</v>
      </c>
      <c r="B9" s="13" t="s">
        <v>16</v>
      </c>
      <c r="C9" s="14"/>
      <c r="D9" s="14"/>
      <c r="E9" s="15"/>
      <c r="F9" s="2">
        <v>0.10416666666666667</v>
      </c>
      <c r="G9" s="2">
        <v>0.10208333333333333</v>
      </c>
      <c r="H9" s="2">
        <v>9.7916666666666666E-2</v>
      </c>
      <c r="I9" s="2">
        <v>0.10625</v>
      </c>
      <c r="J9" s="2">
        <v>0.10138888888888889</v>
      </c>
      <c r="K9" s="2">
        <v>9.4444444444444442E-2</v>
      </c>
      <c r="L9" s="2">
        <v>0.10138888888888889</v>
      </c>
      <c r="M9" s="2">
        <v>0.10833333333333334</v>
      </c>
      <c r="N9" s="2">
        <v>0.10486111111111111</v>
      </c>
      <c r="O9" s="2">
        <v>0.10347222222222222</v>
      </c>
      <c r="P9" s="5">
        <f>AVERAGE(F9:O9)</f>
        <v>0.10243055555555554</v>
      </c>
      <c r="Q9" s="2">
        <f>MAX(F9:O9) - MIN(F9:O9)</f>
        <v>1.3888888888888895E-2</v>
      </c>
      <c r="R9" s="8" t="s">
        <v>17</v>
      </c>
      <c r="S9" s="8"/>
      <c r="T9" s="8"/>
    </row>
    <row r="10" spans="1:20" ht="36.950000000000003" customHeight="1">
      <c r="A10" s="1">
        <v>2</v>
      </c>
      <c r="B10" s="13" t="s">
        <v>18</v>
      </c>
      <c r="C10" s="14"/>
      <c r="D10" s="14"/>
      <c r="E10" s="15"/>
      <c r="F10" s="2">
        <v>7.2916666666666671E-2</v>
      </c>
      <c r="G10" s="2">
        <v>7.2916666666666671E-2</v>
      </c>
      <c r="H10" s="2">
        <v>6.7361111111111108E-2</v>
      </c>
      <c r="I10" s="2">
        <v>6.458333333333334E-2</v>
      </c>
      <c r="J10" s="2">
        <v>7.4999999999999997E-2</v>
      </c>
      <c r="K10" s="2">
        <v>6.3194444444444442E-2</v>
      </c>
      <c r="L10" s="2">
        <v>6.5277777777777782E-2</v>
      </c>
      <c r="M10" s="2">
        <v>7.3611111111111113E-2</v>
      </c>
      <c r="N10" s="2">
        <v>6.7361111111111108E-2</v>
      </c>
      <c r="O10" s="2">
        <v>6.458333333333334E-2</v>
      </c>
      <c r="P10" s="5">
        <f t="shared" ref="P10:P28" si="0">AVERAGE(F10:O10)</f>
        <v>6.868055555555555E-2</v>
      </c>
      <c r="Q10" s="2">
        <f t="shared" ref="Q10:Q28" si="1">MAX(F10:O10) - MIN(F10:O10)</f>
        <v>1.1805555555555555E-2</v>
      </c>
      <c r="R10" s="8" t="s">
        <v>19</v>
      </c>
      <c r="S10" s="8"/>
      <c r="T10" s="8"/>
    </row>
    <row r="11" spans="1:20" ht="36.950000000000003" customHeight="1">
      <c r="A11" s="1">
        <v>3</v>
      </c>
      <c r="B11" s="13" t="s">
        <v>20</v>
      </c>
      <c r="C11" s="14"/>
      <c r="D11" s="14"/>
      <c r="E11" s="15"/>
      <c r="F11" s="2">
        <v>0.125</v>
      </c>
      <c r="G11" s="2">
        <v>0.12916666666666668</v>
      </c>
      <c r="H11" s="2">
        <v>0.13055555555555556</v>
      </c>
      <c r="I11" s="2">
        <v>0.13125000000000001</v>
      </c>
      <c r="J11" s="2">
        <v>0.13055555555555556</v>
      </c>
      <c r="K11" s="2">
        <v>0.11944444444444445</v>
      </c>
      <c r="L11" s="2">
        <v>0.11874999999999999</v>
      </c>
      <c r="M11" s="2">
        <v>0.12638888888888888</v>
      </c>
      <c r="N11" s="2">
        <v>0.12916666666666668</v>
      </c>
      <c r="O11" s="2">
        <v>0.12847222222222221</v>
      </c>
      <c r="P11" s="5">
        <f t="shared" si="0"/>
        <v>0.12687499999999999</v>
      </c>
      <c r="Q11" s="2">
        <f t="shared" si="1"/>
        <v>1.2500000000000011E-2</v>
      </c>
      <c r="R11" s="8" t="s">
        <v>21</v>
      </c>
      <c r="S11" s="8"/>
      <c r="T11" s="8"/>
    </row>
    <row r="12" spans="1:20" ht="36.950000000000003" customHeight="1">
      <c r="A12" s="1">
        <v>4</v>
      </c>
      <c r="B12" s="13" t="s">
        <v>22</v>
      </c>
      <c r="C12" s="14"/>
      <c r="D12" s="14"/>
      <c r="E12" s="15"/>
      <c r="F12" s="2">
        <v>0.18055555555555555</v>
      </c>
      <c r="G12" s="2">
        <v>0.1701388888888889</v>
      </c>
      <c r="H12" s="2">
        <v>0.17986111111111111</v>
      </c>
      <c r="I12" s="2">
        <v>0.18194444444444444</v>
      </c>
      <c r="J12" s="2">
        <v>0.18958333333333333</v>
      </c>
      <c r="K12" s="2">
        <v>0.1763888888888889</v>
      </c>
      <c r="L12" s="2">
        <v>0.17291666666666666</v>
      </c>
      <c r="M12" s="2">
        <v>0.1736111111111111</v>
      </c>
      <c r="N12" s="2">
        <v>0.1763888888888889</v>
      </c>
      <c r="O12" s="2">
        <v>0.18194444444444444</v>
      </c>
      <c r="P12" s="5">
        <f t="shared" si="0"/>
        <v>0.17833333333333334</v>
      </c>
      <c r="Q12" s="2">
        <f t="shared" si="1"/>
        <v>1.9444444444444431E-2</v>
      </c>
      <c r="R12" s="8" t="s">
        <v>23</v>
      </c>
      <c r="S12" s="8"/>
      <c r="T12" s="8"/>
    </row>
    <row r="13" spans="1:20" ht="36.950000000000003" customHeight="1">
      <c r="A13" s="1">
        <v>5</v>
      </c>
      <c r="B13" s="13" t="s">
        <v>24</v>
      </c>
      <c r="C13" s="14"/>
      <c r="D13" s="14"/>
      <c r="E13" s="15"/>
      <c r="F13" s="2">
        <v>0.11805555555555555</v>
      </c>
      <c r="G13" s="2">
        <v>0.10972222222222222</v>
      </c>
      <c r="H13" s="2">
        <v>0.12430555555555556</v>
      </c>
      <c r="I13" s="2">
        <v>0.12083333333333333</v>
      </c>
      <c r="J13" s="2">
        <v>0.10902777777777778</v>
      </c>
      <c r="K13" s="2">
        <v>0.125</v>
      </c>
      <c r="L13" s="2">
        <v>0.11805555555555555</v>
      </c>
      <c r="M13" s="2">
        <v>0.11388888888888889</v>
      </c>
      <c r="N13" s="2">
        <v>0.1076388888888889</v>
      </c>
      <c r="O13" s="2">
        <v>0.12013888888888889</v>
      </c>
      <c r="P13" s="5">
        <f t="shared" si="0"/>
        <v>0.11666666666666665</v>
      </c>
      <c r="Q13" s="2">
        <f t="shared" si="1"/>
        <v>1.7361111111111105E-2</v>
      </c>
      <c r="R13" s="8" t="s">
        <v>25</v>
      </c>
      <c r="S13" s="8"/>
      <c r="T13" s="8"/>
    </row>
    <row r="14" spans="1:20" ht="36.950000000000003" customHeight="1">
      <c r="A14" s="1">
        <v>6</v>
      </c>
      <c r="B14" s="13" t="s">
        <v>26</v>
      </c>
      <c r="C14" s="14"/>
      <c r="D14" s="14"/>
      <c r="E14" s="15"/>
      <c r="F14" s="2">
        <v>6.25E-2</v>
      </c>
      <c r="G14" s="2">
        <v>7.0833333333333331E-2</v>
      </c>
      <c r="H14" s="2">
        <v>6.3888888888888884E-2</v>
      </c>
      <c r="I14" s="2">
        <v>7.2222222222222215E-2</v>
      </c>
      <c r="J14" s="2">
        <v>5.2083333333333336E-2</v>
      </c>
      <c r="K14" s="2">
        <v>5.4166666666666669E-2</v>
      </c>
      <c r="L14" s="2">
        <v>6.5972222222222224E-2</v>
      </c>
      <c r="M14" s="2">
        <v>5.4166666666666669E-2</v>
      </c>
      <c r="N14" s="2">
        <v>5.9027777777777776E-2</v>
      </c>
      <c r="O14" s="2">
        <v>7.0833333333333331E-2</v>
      </c>
      <c r="P14" s="5">
        <f t="shared" si="0"/>
        <v>6.2569444444444441E-2</v>
      </c>
      <c r="Q14" s="2">
        <f t="shared" si="1"/>
        <v>2.013888888888888E-2</v>
      </c>
      <c r="R14" s="8" t="s">
        <v>27</v>
      </c>
      <c r="S14" s="8"/>
      <c r="T14" s="8"/>
    </row>
    <row r="15" spans="1:20" ht="36.950000000000003" customHeight="1">
      <c r="A15" s="1">
        <v>7</v>
      </c>
      <c r="B15" s="13" t="s">
        <v>28</v>
      </c>
      <c r="C15" s="14"/>
      <c r="D15" s="14"/>
      <c r="E15" s="15"/>
      <c r="F15" s="2">
        <v>0.13541666666666666</v>
      </c>
      <c r="G15" s="2">
        <v>0.12708333333333333</v>
      </c>
      <c r="H15" s="2">
        <v>0.12847222222222221</v>
      </c>
      <c r="I15" s="2">
        <v>0.13819444444444445</v>
      </c>
      <c r="J15" s="2">
        <v>0.125</v>
      </c>
      <c r="K15" s="2">
        <v>0.12916666666666668</v>
      </c>
      <c r="L15" s="2">
        <v>0.12708333333333333</v>
      </c>
      <c r="M15" s="2">
        <v>0.125</v>
      </c>
      <c r="N15" s="2">
        <v>0.13750000000000001</v>
      </c>
      <c r="O15" s="2">
        <v>0.13472222222222222</v>
      </c>
      <c r="P15" s="5">
        <f t="shared" si="0"/>
        <v>0.13076388888888885</v>
      </c>
      <c r="Q15" s="2">
        <f t="shared" si="1"/>
        <v>1.3194444444444453E-2</v>
      </c>
      <c r="R15" s="8" t="s">
        <v>29</v>
      </c>
      <c r="S15" s="8"/>
      <c r="T15" s="8"/>
    </row>
    <row r="16" spans="1:20" ht="36.950000000000003" customHeight="1">
      <c r="A16" s="1">
        <v>8</v>
      </c>
      <c r="B16" s="13" t="s">
        <v>30</v>
      </c>
      <c r="C16" s="14"/>
      <c r="D16" s="14"/>
      <c r="E16" s="15"/>
      <c r="F16" s="2">
        <v>0.1111111111111111</v>
      </c>
      <c r="G16" s="2">
        <v>0.10555555555555556</v>
      </c>
      <c r="H16" s="2">
        <v>0.11805555555555555</v>
      </c>
      <c r="I16" s="2">
        <v>0.11388888888888889</v>
      </c>
      <c r="J16" s="2">
        <v>0.10347222222222222</v>
      </c>
      <c r="K16" s="2">
        <v>0.11666666666666667</v>
      </c>
      <c r="L16" s="2">
        <v>0.10902777777777778</v>
      </c>
      <c r="M16" s="2">
        <v>0.10416666666666667</v>
      </c>
      <c r="N16" s="2">
        <v>0.10833333333333334</v>
      </c>
      <c r="O16" s="2">
        <v>0.10694444444444444</v>
      </c>
      <c r="P16" s="5">
        <f t="shared" si="0"/>
        <v>0.10972222222222223</v>
      </c>
      <c r="Q16" s="2">
        <f t="shared" si="1"/>
        <v>1.4583333333333337E-2</v>
      </c>
      <c r="R16" s="8" t="s">
        <v>31</v>
      </c>
      <c r="S16" s="8"/>
      <c r="T16" s="8"/>
    </row>
    <row r="17" spans="1:20" ht="36.950000000000003" customHeight="1">
      <c r="A17" s="1">
        <v>9</v>
      </c>
      <c r="B17" s="13" t="s">
        <v>32</v>
      </c>
      <c r="C17" s="14"/>
      <c r="D17" s="14"/>
      <c r="E17" s="15"/>
      <c r="F17" s="2">
        <v>0.12152777777777778</v>
      </c>
      <c r="G17" s="2">
        <v>0.11736111111111111</v>
      </c>
      <c r="H17" s="2">
        <v>0.12013888888888889</v>
      </c>
      <c r="I17" s="2">
        <v>0.12083333333333333</v>
      </c>
      <c r="J17" s="2">
        <v>0.12569444444444444</v>
      </c>
      <c r="K17" s="2">
        <v>0.11874999999999999</v>
      </c>
      <c r="L17" s="2">
        <v>0.11388888888888889</v>
      </c>
      <c r="M17" s="2">
        <v>0.13194444444444445</v>
      </c>
      <c r="N17" s="2">
        <v>0.12916666666666668</v>
      </c>
      <c r="O17" s="2">
        <v>0.12916666666666668</v>
      </c>
      <c r="P17" s="5">
        <f t="shared" si="0"/>
        <v>0.12284722222222225</v>
      </c>
      <c r="Q17" s="2">
        <f t="shared" si="1"/>
        <v>1.8055555555555561E-2</v>
      </c>
      <c r="R17" s="8" t="s">
        <v>33</v>
      </c>
      <c r="S17" s="8"/>
      <c r="T17" s="8"/>
    </row>
    <row r="18" spans="1:20" ht="36.950000000000003" customHeight="1">
      <c r="A18" s="1">
        <v>10</v>
      </c>
      <c r="B18" s="13" t="s">
        <v>34</v>
      </c>
      <c r="C18" s="14"/>
      <c r="D18" s="14"/>
      <c r="E18" s="15"/>
      <c r="F18" s="2">
        <v>0.1701388888888889</v>
      </c>
      <c r="G18" s="2">
        <v>0.17291666666666666</v>
      </c>
      <c r="H18" s="2">
        <v>0.16527777777777777</v>
      </c>
      <c r="I18" s="2">
        <v>0.16458333333333333</v>
      </c>
      <c r="J18" s="2">
        <v>0.16319444444444445</v>
      </c>
      <c r="K18" s="2">
        <v>0.16944444444444445</v>
      </c>
      <c r="L18" s="2">
        <v>0.1736111111111111</v>
      </c>
      <c r="M18" s="2">
        <v>0.15972222222222221</v>
      </c>
      <c r="N18" s="2">
        <v>0.17569444444444443</v>
      </c>
      <c r="O18" s="2">
        <v>0.16041666666666668</v>
      </c>
      <c r="P18" s="5">
        <f t="shared" si="0"/>
        <v>0.16750000000000001</v>
      </c>
      <c r="Q18" s="2">
        <f t="shared" si="1"/>
        <v>1.5972222222222221E-2</v>
      </c>
      <c r="R18" s="8" t="s">
        <v>35</v>
      </c>
      <c r="S18" s="8"/>
      <c r="T18" s="8"/>
    </row>
    <row r="19" spans="1:20" ht="36.950000000000003" customHeight="1">
      <c r="A19" s="1">
        <v>11</v>
      </c>
      <c r="B19" s="13" t="s">
        <v>36</v>
      </c>
      <c r="C19" s="14"/>
      <c r="D19" s="14"/>
      <c r="E19" s="15"/>
      <c r="F19" s="2">
        <v>0.15972222222222221</v>
      </c>
      <c r="G19" s="2">
        <v>0.16388888888888889</v>
      </c>
      <c r="H19" s="2">
        <v>0.15555555555555556</v>
      </c>
      <c r="I19" s="2">
        <v>0.14930555555555555</v>
      </c>
      <c r="J19" s="2">
        <v>0.15347222222222223</v>
      </c>
      <c r="K19" s="2">
        <v>0.16180555555555556</v>
      </c>
      <c r="L19" s="2">
        <v>0.15486111111111112</v>
      </c>
      <c r="M19" s="2">
        <v>0.16111111111111112</v>
      </c>
      <c r="N19" s="2">
        <v>0.16805555555555557</v>
      </c>
      <c r="O19" s="2">
        <v>0.15208333333333332</v>
      </c>
      <c r="P19" s="5">
        <f t="shared" si="0"/>
        <v>0.1579861111111111</v>
      </c>
      <c r="Q19" s="2">
        <f t="shared" si="1"/>
        <v>1.8750000000000017E-2</v>
      </c>
      <c r="R19" s="8" t="s">
        <v>37</v>
      </c>
      <c r="S19" s="8"/>
      <c r="T19" s="8"/>
    </row>
    <row r="20" spans="1:20" ht="36.950000000000003" customHeight="1">
      <c r="A20" s="1">
        <v>12</v>
      </c>
      <c r="B20" s="13" t="s">
        <v>38</v>
      </c>
      <c r="C20" s="14"/>
      <c r="D20" s="14"/>
      <c r="E20" s="15"/>
      <c r="F20" s="2">
        <v>0.14930555555555555</v>
      </c>
      <c r="G20" s="2">
        <v>0.15138888888888888</v>
      </c>
      <c r="H20" s="2">
        <v>0.15277777777777779</v>
      </c>
      <c r="I20" s="2">
        <v>0.13958333333333334</v>
      </c>
      <c r="J20" s="2">
        <v>0.14444444444444443</v>
      </c>
      <c r="K20" s="2">
        <v>0.15763888888888888</v>
      </c>
      <c r="L20" s="2">
        <v>0.14861111111111111</v>
      </c>
      <c r="M20" s="2">
        <v>0.15138888888888888</v>
      </c>
      <c r="N20" s="2">
        <v>0.14027777777777778</v>
      </c>
      <c r="O20" s="2">
        <v>0.14583333333333334</v>
      </c>
      <c r="P20" s="5">
        <f t="shared" si="0"/>
        <v>0.14812499999999998</v>
      </c>
      <c r="Q20" s="2">
        <f t="shared" si="1"/>
        <v>1.8055555555555547E-2</v>
      </c>
      <c r="R20" s="8" t="s">
        <v>39</v>
      </c>
      <c r="S20" s="8"/>
      <c r="T20" s="8"/>
    </row>
    <row r="21" spans="1:20" ht="36.950000000000003" customHeight="1">
      <c r="A21" s="1">
        <v>13</v>
      </c>
      <c r="B21" s="13" t="s">
        <v>40</v>
      </c>
      <c r="C21" s="14"/>
      <c r="D21" s="14"/>
      <c r="E21" s="15"/>
      <c r="F21" s="2">
        <v>0.16666666666666666</v>
      </c>
      <c r="G21" s="2">
        <v>0.15902777777777777</v>
      </c>
      <c r="H21" s="2">
        <v>0.16944444444444445</v>
      </c>
      <c r="I21" s="2">
        <v>0.16250000000000001</v>
      </c>
      <c r="J21" s="2">
        <v>0.1701388888888889</v>
      </c>
      <c r="K21" s="2">
        <v>0.15625</v>
      </c>
      <c r="L21" s="2">
        <v>0.16666666666666666</v>
      </c>
      <c r="M21" s="2">
        <v>0.15902777777777777</v>
      </c>
      <c r="N21" s="2">
        <v>0.1736111111111111</v>
      </c>
      <c r="O21" s="2">
        <v>0.17152777777777778</v>
      </c>
      <c r="P21" s="5">
        <f t="shared" si="0"/>
        <v>0.16548611111111111</v>
      </c>
      <c r="Q21" s="2">
        <f t="shared" si="1"/>
        <v>1.7361111111111105E-2</v>
      </c>
      <c r="R21" s="8" t="s">
        <v>41</v>
      </c>
      <c r="S21" s="8"/>
      <c r="T21" s="8"/>
    </row>
    <row r="22" spans="1:20" ht="36.950000000000003" customHeight="1">
      <c r="A22" s="1">
        <v>14</v>
      </c>
      <c r="B22" s="13" t="s">
        <v>42</v>
      </c>
      <c r="C22" s="14"/>
      <c r="D22" s="14"/>
      <c r="E22" s="15"/>
      <c r="F22" s="2">
        <v>0.22569444444444445</v>
      </c>
      <c r="G22" s="2">
        <v>0.23125000000000001</v>
      </c>
      <c r="H22" s="2">
        <v>0.22638888888888889</v>
      </c>
      <c r="I22" s="2">
        <v>0.2326388888888889</v>
      </c>
      <c r="J22" s="2">
        <v>0.22708333333333333</v>
      </c>
      <c r="K22" s="2">
        <v>0.22500000000000001</v>
      </c>
      <c r="L22" s="2">
        <v>0.22916666666666666</v>
      </c>
      <c r="M22" s="2">
        <v>0.21666666666666667</v>
      </c>
      <c r="N22" s="2">
        <v>0.21666666666666667</v>
      </c>
      <c r="O22" s="2">
        <v>0.22291666666666668</v>
      </c>
      <c r="P22" s="5">
        <f t="shared" si="0"/>
        <v>0.22534722222222228</v>
      </c>
      <c r="Q22" s="2">
        <f t="shared" si="1"/>
        <v>1.5972222222222221E-2</v>
      </c>
      <c r="R22" s="8" t="s">
        <v>43</v>
      </c>
      <c r="S22" s="8"/>
      <c r="T22" s="8"/>
    </row>
    <row r="23" spans="1:20" ht="36.950000000000003" customHeight="1">
      <c r="A23" s="1">
        <v>15</v>
      </c>
      <c r="B23" s="13" t="s">
        <v>44</v>
      </c>
      <c r="C23" s="14"/>
      <c r="D23" s="14"/>
      <c r="E23" s="15"/>
      <c r="F23" s="2">
        <v>9.7222222222222224E-2</v>
      </c>
      <c r="G23" s="2">
        <v>9.0972222222222218E-2</v>
      </c>
      <c r="H23" s="2">
        <v>0.1</v>
      </c>
      <c r="I23" s="2">
        <v>8.6805555555555552E-2</v>
      </c>
      <c r="J23" s="2">
        <v>9.7222222222222224E-2</v>
      </c>
      <c r="K23" s="2">
        <v>8.8888888888888892E-2</v>
      </c>
      <c r="L23" s="2">
        <v>8.8888888888888892E-2</v>
      </c>
      <c r="M23" s="2">
        <v>9.7916666666666666E-2</v>
      </c>
      <c r="N23" s="2">
        <v>0.1076388888888889</v>
      </c>
      <c r="O23" s="2">
        <v>9.2361111111111116E-2</v>
      </c>
      <c r="P23" s="5">
        <f t="shared" si="0"/>
        <v>9.4791666666666677E-2</v>
      </c>
      <c r="Q23" s="2">
        <f t="shared" si="1"/>
        <v>2.0833333333333343E-2</v>
      </c>
      <c r="R23" s="8" t="s">
        <v>45</v>
      </c>
      <c r="S23" s="8"/>
      <c r="T23" s="8"/>
    </row>
    <row r="24" spans="1:20" ht="36.950000000000003" customHeight="1">
      <c r="A24" s="1">
        <v>16</v>
      </c>
      <c r="B24" s="13" t="s">
        <v>46</v>
      </c>
      <c r="C24" s="14"/>
      <c r="D24" s="14"/>
      <c r="E24" s="15"/>
      <c r="F24" s="2">
        <v>0.19791666666666666</v>
      </c>
      <c r="G24" s="2">
        <v>0.20416666666666666</v>
      </c>
      <c r="H24" s="2">
        <v>0.19097222222222221</v>
      </c>
      <c r="I24" s="2">
        <v>0.19444444444444445</v>
      </c>
      <c r="J24" s="2">
        <v>0.19027777777777777</v>
      </c>
      <c r="K24" s="2">
        <v>0.20208333333333334</v>
      </c>
      <c r="L24" s="2">
        <v>0.20555555555555555</v>
      </c>
      <c r="M24" s="2">
        <v>0.2076388888888889</v>
      </c>
      <c r="N24" s="2">
        <v>0.18958333333333333</v>
      </c>
      <c r="O24" s="2">
        <v>0.19513888888888889</v>
      </c>
      <c r="P24" s="5">
        <f t="shared" si="0"/>
        <v>0.19777777777777777</v>
      </c>
      <c r="Q24" s="2">
        <f t="shared" si="1"/>
        <v>1.8055555555555575E-2</v>
      </c>
      <c r="R24" s="8" t="s">
        <v>47</v>
      </c>
      <c r="S24" s="8"/>
      <c r="T24" s="8"/>
    </row>
    <row r="25" spans="1:20" ht="36.950000000000003" customHeight="1">
      <c r="A25" s="1">
        <v>17</v>
      </c>
      <c r="B25" s="13" t="s">
        <v>48</v>
      </c>
      <c r="C25" s="14"/>
      <c r="D25" s="14"/>
      <c r="E25" s="15"/>
      <c r="F25" s="2">
        <v>0.13194444444444445</v>
      </c>
      <c r="G25" s="2">
        <v>0.13819444444444445</v>
      </c>
      <c r="H25" s="2">
        <v>0.1423611111111111</v>
      </c>
      <c r="I25" s="2">
        <v>0.13541666666666666</v>
      </c>
      <c r="J25" s="2">
        <v>0.12777777777777777</v>
      </c>
      <c r="K25" s="2">
        <v>0.12986111111111112</v>
      </c>
      <c r="L25" s="2">
        <v>0.13750000000000001</v>
      </c>
      <c r="M25" s="2">
        <v>0.12361111111111112</v>
      </c>
      <c r="N25" s="2">
        <v>0.1423611111111111</v>
      </c>
      <c r="O25" s="2">
        <v>0.12291666666666666</v>
      </c>
      <c r="P25" s="5">
        <f t="shared" si="0"/>
        <v>0.13319444444444445</v>
      </c>
      <c r="Q25" s="2">
        <f t="shared" si="1"/>
        <v>1.9444444444444445E-2</v>
      </c>
      <c r="R25" s="8" t="s">
        <v>49</v>
      </c>
      <c r="S25" s="8"/>
      <c r="T25" s="8"/>
    </row>
    <row r="26" spans="1:20" ht="36.950000000000003" customHeight="1">
      <c r="A26" s="1">
        <v>18</v>
      </c>
      <c r="B26" s="13" t="s">
        <v>50</v>
      </c>
      <c r="C26" s="14"/>
      <c r="D26" s="14"/>
      <c r="E26" s="15"/>
      <c r="F26" s="2">
        <v>7.9861111111111105E-2</v>
      </c>
      <c r="G26" s="2">
        <v>7.7777777777777779E-2</v>
      </c>
      <c r="H26" s="2">
        <v>7.9861111111111105E-2</v>
      </c>
      <c r="I26" s="2">
        <v>8.5416666666666669E-2</v>
      </c>
      <c r="J26" s="2">
        <v>7.6388888888888895E-2</v>
      </c>
      <c r="K26" s="2">
        <v>8.6805555555555552E-2</v>
      </c>
      <c r="L26" s="2">
        <v>7.9861111111111105E-2</v>
      </c>
      <c r="M26" s="2">
        <v>7.0833333333333331E-2</v>
      </c>
      <c r="N26" s="2">
        <v>8.819444444444445E-2</v>
      </c>
      <c r="O26" s="2">
        <v>8.2638888888888887E-2</v>
      </c>
      <c r="P26" s="5">
        <f t="shared" si="0"/>
        <v>8.0763888888888885E-2</v>
      </c>
      <c r="Q26" s="2">
        <f t="shared" si="1"/>
        <v>1.7361111111111119E-2</v>
      </c>
      <c r="R26" s="8" t="s">
        <v>51</v>
      </c>
      <c r="S26" s="8"/>
      <c r="T26" s="8"/>
    </row>
    <row r="27" spans="1:20" ht="36.950000000000003" customHeight="1">
      <c r="A27" s="1">
        <v>19</v>
      </c>
      <c r="B27" s="13" t="s">
        <v>52</v>
      </c>
      <c r="C27" s="14"/>
      <c r="D27" s="14"/>
      <c r="E27" s="15"/>
      <c r="F27" s="2">
        <v>8.6805555555555552E-2</v>
      </c>
      <c r="G27" s="2">
        <v>9.4444444444444442E-2</v>
      </c>
      <c r="H27" s="2">
        <v>8.6805555555555552E-2</v>
      </c>
      <c r="I27" s="2">
        <v>7.8472222222222221E-2</v>
      </c>
      <c r="J27" s="2">
        <v>9.4444444444444442E-2</v>
      </c>
      <c r="K27" s="2">
        <v>8.3333333333333329E-2</v>
      </c>
      <c r="L27" s="2">
        <v>8.5416666666666669E-2</v>
      </c>
      <c r="M27" s="2">
        <v>8.3333333333333329E-2</v>
      </c>
      <c r="N27" s="2">
        <v>7.8472222222222221E-2</v>
      </c>
      <c r="O27" s="2">
        <v>8.7499999999999994E-2</v>
      </c>
      <c r="P27" s="5">
        <f t="shared" si="0"/>
        <v>8.5902777777777786E-2</v>
      </c>
      <c r="Q27" s="2">
        <f t="shared" si="1"/>
        <v>1.5972222222222221E-2</v>
      </c>
      <c r="R27" s="8" t="s">
        <v>53</v>
      </c>
      <c r="S27" s="8"/>
      <c r="T27" s="8"/>
    </row>
    <row r="28" spans="1:20" ht="36.950000000000003" customHeight="1">
      <c r="A28" s="1">
        <v>20</v>
      </c>
      <c r="B28" s="17" t="s">
        <v>54</v>
      </c>
      <c r="C28" s="17"/>
      <c r="D28" s="17"/>
      <c r="E28" s="17"/>
      <c r="F28" s="2">
        <v>0.1111111111111111</v>
      </c>
      <c r="G28" s="2">
        <v>0.10138888888888889</v>
      </c>
      <c r="H28" s="2">
        <v>0.10069444444444445</v>
      </c>
      <c r="I28" s="2">
        <v>0.12152777777777778</v>
      </c>
      <c r="J28" s="2">
        <v>0.11736111111111111</v>
      </c>
      <c r="K28" s="2">
        <v>0.11458333333333333</v>
      </c>
      <c r="L28" s="2">
        <v>0.11527777777777778</v>
      </c>
      <c r="M28" s="2">
        <v>0.10972222222222222</v>
      </c>
      <c r="N28" s="2">
        <v>0.11319444444444444</v>
      </c>
      <c r="O28" s="2">
        <v>0.10069444444444445</v>
      </c>
      <c r="P28" s="5">
        <f t="shared" si="0"/>
        <v>0.11055555555555556</v>
      </c>
      <c r="Q28" s="2">
        <f t="shared" si="1"/>
        <v>2.0833333333333329E-2</v>
      </c>
      <c r="R28" s="8" t="s">
        <v>55</v>
      </c>
      <c r="S28" s="8"/>
      <c r="T28" s="8"/>
    </row>
    <row r="39" spans="6:6">
      <c r="F39" s="4"/>
    </row>
    <row r="41" spans="6:6">
      <c r="F41" s="4"/>
    </row>
  </sheetData>
  <mergeCells count="53">
    <mergeCell ref="B10:E10"/>
    <mergeCell ref="B11:E11"/>
    <mergeCell ref="B12:E12"/>
    <mergeCell ref="B13:E13"/>
    <mergeCell ref="C3:E3"/>
    <mergeCell ref="C4:E4"/>
    <mergeCell ref="C5:E5"/>
    <mergeCell ref="B26:E26"/>
    <mergeCell ref="B27:E27"/>
    <mergeCell ref="B28:E28"/>
    <mergeCell ref="F7:O7"/>
    <mergeCell ref="B20:E20"/>
    <mergeCell ref="B21:E21"/>
    <mergeCell ref="B22:E22"/>
    <mergeCell ref="B23:E23"/>
    <mergeCell ref="B24:E24"/>
    <mergeCell ref="B25:E25"/>
    <mergeCell ref="B14:E14"/>
    <mergeCell ref="B15:E15"/>
    <mergeCell ref="B16:E16"/>
    <mergeCell ref="B17:E17"/>
    <mergeCell ref="B18:E18"/>
    <mergeCell ref="B19:E19"/>
    <mergeCell ref="A7:A8"/>
    <mergeCell ref="B7:E8"/>
    <mergeCell ref="M3:O5"/>
    <mergeCell ref="R7:T8"/>
    <mergeCell ref="R9:T9"/>
    <mergeCell ref="B9:E9"/>
    <mergeCell ref="H3:J3"/>
    <mergeCell ref="H4:J4"/>
    <mergeCell ref="H5:J5"/>
    <mergeCell ref="R25:T25"/>
    <mergeCell ref="R26:T26"/>
    <mergeCell ref="R27:T27"/>
    <mergeCell ref="R28:T28"/>
    <mergeCell ref="R17:T17"/>
    <mergeCell ref="R18:T18"/>
    <mergeCell ref="R19:T19"/>
    <mergeCell ref="R20:T20"/>
    <mergeCell ref="R21:T21"/>
    <mergeCell ref="R22:T22"/>
    <mergeCell ref="R10:T10"/>
    <mergeCell ref="P7:P8"/>
    <mergeCell ref="Q7:Q8"/>
    <mergeCell ref="R23:T23"/>
    <mergeCell ref="R24:T24"/>
    <mergeCell ref="R11:T11"/>
    <mergeCell ref="R12:T12"/>
    <mergeCell ref="R13:T13"/>
    <mergeCell ref="R14:T14"/>
    <mergeCell ref="R15:T15"/>
    <mergeCell ref="R16:T16"/>
  </mergeCells>
  <phoneticPr fontId="1" type="noConversion"/>
  <conditionalFormatting sqref="P9:P28">
    <cfRule type="colorScale" priority="1">
      <colorScale>
        <cfvo type="min"/>
        <cfvo type="percentile" val="50"/>
        <cfvo type="max"/>
        <color rgb="FF63BE7B"/>
        <color rgb="FFFFEB84"/>
        <color rgb="FFF8696B"/>
      </colorScale>
    </cfRule>
  </conditionalFormatting>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851B3-A611-6845-B770-697F74FF4537}">
  <dimension ref="A1:L39"/>
  <sheetViews>
    <sheetView workbookViewId="0">
      <selection activeCell="R13" sqref="R13"/>
    </sheetView>
  </sheetViews>
  <sheetFormatPr defaultColWidth="11" defaultRowHeight="15.95"/>
  <sheetData>
    <row r="1" spans="1:12">
      <c r="A1" s="19" t="s">
        <v>56</v>
      </c>
      <c r="B1" s="20"/>
      <c r="C1" s="20"/>
      <c r="D1" s="20"/>
      <c r="E1" s="20"/>
      <c r="F1" s="20"/>
      <c r="G1" s="20"/>
      <c r="H1" s="20"/>
      <c r="I1" s="20"/>
      <c r="J1" s="20"/>
      <c r="K1" s="20"/>
      <c r="L1" s="20"/>
    </row>
    <row r="2" spans="1:12">
      <c r="A2" s="20"/>
      <c r="B2" s="20"/>
      <c r="C2" s="20"/>
      <c r="D2" s="20"/>
      <c r="E2" s="20"/>
      <c r="F2" s="20"/>
      <c r="G2" s="20"/>
      <c r="H2" s="20"/>
      <c r="I2" s="20"/>
      <c r="J2" s="20"/>
      <c r="K2" s="20"/>
      <c r="L2" s="20"/>
    </row>
    <row r="3" spans="1:12">
      <c r="A3" s="20"/>
      <c r="B3" s="20"/>
      <c r="C3" s="20"/>
      <c r="D3" s="20"/>
      <c r="E3" s="20"/>
      <c r="F3" s="20"/>
      <c r="G3" s="20"/>
      <c r="H3" s="20"/>
      <c r="I3" s="20"/>
      <c r="J3" s="20"/>
      <c r="K3" s="20"/>
      <c r="L3" s="20"/>
    </row>
    <row r="4" spans="1:12">
      <c r="A4" s="20"/>
      <c r="B4" s="20"/>
      <c r="C4" s="20"/>
      <c r="D4" s="20"/>
      <c r="E4" s="20"/>
      <c r="F4" s="20"/>
      <c r="G4" s="20"/>
      <c r="H4" s="20"/>
      <c r="I4" s="20"/>
      <c r="J4" s="20"/>
      <c r="K4" s="20"/>
      <c r="L4" s="20"/>
    </row>
    <row r="5" spans="1:12">
      <c r="A5" s="20"/>
      <c r="B5" s="20"/>
      <c r="C5" s="20"/>
      <c r="D5" s="20"/>
      <c r="E5" s="20"/>
      <c r="F5" s="20"/>
      <c r="G5" s="20"/>
      <c r="H5" s="20"/>
      <c r="I5" s="20"/>
      <c r="J5" s="20"/>
      <c r="K5" s="20"/>
      <c r="L5" s="20"/>
    </row>
    <row r="6" spans="1:12">
      <c r="A6" s="20"/>
      <c r="B6" s="20"/>
      <c r="C6" s="20"/>
      <c r="D6" s="20"/>
      <c r="E6" s="20"/>
      <c r="F6" s="20"/>
      <c r="G6" s="20"/>
      <c r="H6" s="20"/>
      <c r="I6" s="20"/>
      <c r="J6" s="20"/>
      <c r="K6" s="20"/>
      <c r="L6" s="20"/>
    </row>
    <row r="7" spans="1:12">
      <c r="A7" s="20"/>
      <c r="B7" s="20"/>
      <c r="C7" s="20"/>
      <c r="D7" s="20"/>
      <c r="E7" s="20"/>
      <c r="F7" s="20"/>
      <c r="G7" s="20"/>
      <c r="H7" s="20"/>
      <c r="I7" s="20"/>
      <c r="J7" s="20"/>
      <c r="K7" s="20"/>
      <c r="L7" s="20"/>
    </row>
    <row r="8" spans="1:12">
      <c r="A8" s="20"/>
      <c r="B8" s="20"/>
      <c r="C8" s="20"/>
      <c r="D8" s="20"/>
      <c r="E8" s="20"/>
      <c r="F8" s="20"/>
      <c r="G8" s="20"/>
      <c r="H8" s="20"/>
      <c r="I8" s="20"/>
      <c r="J8" s="20"/>
      <c r="K8" s="20"/>
      <c r="L8" s="20"/>
    </row>
    <row r="9" spans="1:12">
      <c r="A9" s="20"/>
      <c r="B9" s="20"/>
      <c r="C9" s="20"/>
      <c r="D9" s="20"/>
      <c r="E9" s="20"/>
      <c r="F9" s="20"/>
      <c r="G9" s="20"/>
      <c r="H9" s="20"/>
      <c r="I9" s="20"/>
      <c r="J9" s="20"/>
      <c r="K9" s="20"/>
      <c r="L9" s="20"/>
    </row>
    <row r="10" spans="1:12">
      <c r="A10" s="20"/>
      <c r="B10" s="20"/>
      <c r="C10" s="20"/>
      <c r="D10" s="20"/>
      <c r="E10" s="20"/>
      <c r="F10" s="20"/>
      <c r="G10" s="20"/>
      <c r="H10" s="20"/>
      <c r="I10" s="20"/>
      <c r="J10" s="20"/>
      <c r="K10" s="20"/>
      <c r="L10" s="20"/>
    </row>
    <row r="11" spans="1:12">
      <c r="A11" s="20"/>
      <c r="B11" s="20"/>
      <c r="C11" s="20"/>
      <c r="D11" s="20"/>
      <c r="E11" s="20"/>
      <c r="F11" s="20"/>
      <c r="G11" s="20"/>
      <c r="H11" s="20"/>
      <c r="I11" s="20"/>
      <c r="J11" s="20"/>
      <c r="K11" s="20"/>
      <c r="L11" s="20"/>
    </row>
    <row r="12" spans="1:12">
      <c r="A12" s="20"/>
      <c r="B12" s="20"/>
      <c r="C12" s="20"/>
      <c r="D12" s="20"/>
      <c r="E12" s="20"/>
      <c r="F12" s="20"/>
      <c r="G12" s="20"/>
      <c r="H12" s="20"/>
      <c r="I12" s="20"/>
      <c r="J12" s="20"/>
      <c r="K12" s="20"/>
      <c r="L12" s="20"/>
    </row>
    <row r="13" spans="1:12">
      <c r="A13" s="20"/>
      <c r="B13" s="20"/>
      <c r="C13" s="20"/>
      <c r="D13" s="20"/>
      <c r="E13" s="20"/>
      <c r="F13" s="20"/>
      <c r="G13" s="20"/>
      <c r="H13" s="20"/>
      <c r="I13" s="20"/>
      <c r="J13" s="20"/>
      <c r="K13" s="20"/>
      <c r="L13" s="20"/>
    </row>
    <row r="14" spans="1:12">
      <c r="A14" s="20"/>
      <c r="B14" s="20"/>
      <c r="C14" s="20"/>
      <c r="D14" s="20"/>
      <c r="E14" s="20"/>
      <c r="F14" s="20"/>
      <c r="G14" s="20"/>
      <c r="H14" s="20"/>
      <c r="I14" s="20"/>
      <c r="J14" s="20"/>
      <c r="K14" s="20"/>
      <c r="L14" s="20"/>
    </row>
    <row r="15" spans="1:12">
      <c r="A15" s="20"/>
      <c r="B15" s="20"/>
      <c r="C15" s="20"/>
      <c r="D15" s="20"/>
      <c r="E15" s="20"/>
      <c r="F15" s="20"/>
      <c r="G15" s="20"/>
      <c r="H15" s="20"/>
      <c r="I15" s="20"/>
      <c r="J15" s="20"/>
      <c r="K15" s="20"/>
      <c r="L15" s="20"/>
    </row>
    <row r="16" spans="1:12">
      <c r="A16" s="20"/>
      <c r="B16" s="20"/>
      <c r="C16" s="20"/>
      <c r="D16" s="20"/>
      <c r="E16" s="20"/>
      <c r="F16" s="20"/>
      <c r="G16" s="20"/>
      <c r="H16" s="20"/>
      <c r="I16" s="20"/>
      <c r="J16" s="20"/>
      <c r="K16" s="20"/>
      <c r="L16" s="20"/>
    </row>
    <row r="17" spans="1:12">
      <c r="A17" s="20"/>
      <c r="B17" s="20"/>
      <c r="C17" s="20"/>
      <c r="D17" s="20"/>
      <c r="E17" s="20"/>
      <c r="F17" s="20"/>
      <c r="G17" s="20"/>
      <c r="H17" s="20"/>
      <c r="I17" s="20"/>
      <c r="J17" s="20"/>
      <c r="K17" s="20"/>
      <c r="L17" s="20"/>
    </row>
    <row r="18" spans="1:12">
      <c r="A18" s="20"/>
      <c r="B18" s="20"/>
      <c r="C18" s="20"/>
      <c r="D18" s="20"/>
      <c r="E18" s="20"/>
      <c r="F18" s="20"/>
      <c r="G18" s="20"/>
      <c r="H18" s="20"/>
      <c r="I18" s="20"/>
      <c r="J18" s="20"/>
      <c r="K18" s="20"/>
      <c r="L18" s="20"/>
    </row>
    <row r="19" spans="1:12">
      <c r="A19" s="20"/>
      <c r="B19" s="20"/>
      <c r="C19" s="20"/>
      <c r="D19" s="20"/>
      <c r="E19" s="20"/>
      <c r="F19" s="20"/>
      <c r="G19" s="20"/>
      <c r="H19" s="20"/>
      <c r="I19" s="20"/>
      <c r="J19" s="20"/>
      <c r="K19" s="20"/>
      <c r="L19" s="20"/>
    </row>
    <row r="20" spans="1:12">
      <c r="A20" s="20"/>
      <c r="B20" s="20"/>
      <c r="C20" s="20"/>
      <c r="D20" s="20"/>
      <c r="E20" s="20"/>
      <c r="F20" s="20"/>
      <c r="G20" s="20"/>
      <c r="H20" s="20"/>
      <c r="I20" s="20"/>
      <c r="J20" s="20"/>
      <c r="K20" s="20"/>
      <c r="L20" s="20"/>
    </row>
    <row r="21" spans="1:12">
      <c r="A21" s="20"/>
      <c r="B21" s="20"/>
      <c r="C21" s="20"/>
      <c r="D21" s="20"/>
      <c r="E21" s="20"/>
      <c r="F21" s="20"/>
      <c r="G21" s="20"/>
      <c r="H21" s="20"/>
      <c r="I21" s="20"/>
      <c r="J21" s="20"/>
      <c r="K21" s="20"/>
      <c r="L21" s="20"/>
    </row>
    <row r="22" spans="1:12">
      <c r="A22" s="20"/>
      <c r="B22" s="20"/>
      <c r="C22" s="20"/>
      <c r="D22" s="20"/>
      <c r="E22" s="20"/>
      <c r="F22" s="20"/>
      <c r="G22" s="20"/>
      <c r="H22" s="20"/>
      <c r="I22" s="20"/>
      <c r="J22" s="20"/>
      <c r="K22" s="20"/>
      <c r="L22" s="20"/>
    </row>
    <row r="23" spans="1:12">
      <c r="A23" s="20"/>
      <c r="B23" s="20"/>
      <c r="C23" s="20"/>
      <c r="D23" s="20"/>
      <c r="E23" s="20"/>
      <c r="F23" s="20"/>
      <c r="G23" s="20"/>
      <c r="H23" s="20"/>
      <c r="I23" s="20"/>
      <c r="J23" s="20"/>
      <c r="K23" s="20"/>
      <c r="L23" s="20"/>
    </row>
    <row r="24" spans="1:12">
      <c r="A24" s="20"/>
      <c r="B24" s="20"/>
      <c r="C24" s="20"/>
      <c r="D24" s="20"/>
      <c r="E24" s="20"/>
      <c r="F24" s="20"/>
      <c r="G24" s="20"/>
      <c r="H24" s="20"/>
      <c r="I24" s="20"/>
      <c r="J24" s="20"/>
      <c r="K24" s="20"/>
      <c r="L24" s="20"/>
    </row>
    <row r="25" spans="1:12">
      <c r="A25" s="20"/>
      <c r="B25" s="20"/>
      <c r="C25" s="20"/>
      <c r="D25" s="20"/>
      <c r="E25" s="20"/>
      <c r="F25" s="20"/>
      <c r="G25" s="20"/>
      <c r="H25" s="20"/>
      <c r="I25" s="20"/>
      <c r="J25" s="20"/>
      <c r="K25" s="20"/>
      <c r="L25" s="20"/>
    </row>
    <row r="26" spans="1:12">
      <c r="A26" s="20"/>
      <c r="B26" s="20"/>
      <c r="C26" s="20"/>
      <c r="D26" s="20"/>
      <c r="E26" s="20"/>
      <c r="F26" s="20"/>
      <c r="G26" s="20"/>
      <c r="H26" s="20"/>
      <c r="I26" s="20"/>
      <c r="J26" s="20"/>
      <c r="K26" s="20"/>
      <c r="L26" s="20"/>
    </row>
    <row r="27" spans="1:12">
      <c r="A27" s="20"/>
      <c r="B27" s="20"/>
      <c r="C27" s="20"/>
      <c r="D27" s="20"/>
      <c r="E27" s="20"/>
      <c r="F27" s="20"/>
      <c r="G27" s="20"/>
      <c r="H27" s="20"/>
      <c r="I27" s="20"/>
      <c r="J27" s="20"/>
      <c r="K27" s="20"/>
      <c r="L27" s="20"/>
    </row>
    <row r="28" spans="1:12">
      <c r="A28" s="20"/>
      <c r="B28" s="20"/>
      <c r="C28" s="20"/>
      <c r="D28" s="20"/>
      <c r="E28" s="20"/>
      <c r="F28" s="20"/>
      <c r="G28" s="20"/>
      <c r="H28" s="20"/>
      <c r="I28" s="20"/>
      <c r="J28" s="20"/>
      <c r="K28" s="20"/>
      <c r="L28" s="20"/>
    </row>
    <row r="29" spans="1:12">
      <c r="A29" s="20"/>
      <c r="B29" s="20"/>
      <c r="C29" s="20"/>
      <c r="D29" s="20"/>
      <c r="E29" s="20"/>
      <c r="F29" s="20"/>
      <c r="G29" s="20"/>
      <c r="H29" s="20"/>
      <c r="I29" s="20"/>
      <c r="J29" s="20"/>
      <c r="K29" s="20"/>
      <c r="L29" s="20"/>
    </row>
    <row r="30" spans="1:12">
      <c r="A30" s="20"/>
      <c r="B30" s="20"/>
      <c r="C30" s="20"/>
      <c r="D30" s="20"/>
      <c r="E30" s="20"/>
      <c r="F30" s="20"/>
      <c r="G30" s="20"/>
      <c r="H30" s="20"/>
      <c r="I30" s="20"/>
      <c r="J30" s="20"/>
      <c r="K30" s="20"/>
      <c r="L30" s="20"/>
    </row>
    <row r="31" spans="1:12">
      <c r="A31" s="20"/>
      <c r="B31" s="20"/>
      <c r="C31" s="20"/>
      <c r="D31" s="20"/>
      <c r="E31" s="20"/>
      <c r="F31" s="20"/>
      <c r="G31" s="20"/>
      <c r="H31" s="20"/>
      <c r="I31" s="20"/>
      <c r="J31" s="20"/>
      <c r="K31" s="20"/>
      <c r="L31" s="20"/>
    </row>
    <row r="32" spans="1:12">
      <c r="A32" s="20"/>
      <c r="B32" s="20"/>
      <c r="C32" s="20"/>
      <c r="D32" s="20"/>
      <c r="E32" s="20"/>
      <c r="F32" s="20"/>
      <c r="G32" s="20"/>
      <c r="H32" s="20"/>
      <c r="I32" s="20"/>
      <c r="J32" s="20"/>
      <c r="K32" s="20"/>
      <c r="L32" s="20"/>
    </row>
    <row r="33" spans="1:12">
      <c r="A33" s="20"/>
      <c r="B33" s="20"/>
      <c r="C33" s="20"/>
      <c r="D33" s="20"/>
      <c r="E33" s="20"/>
      <c r="F33" s="20"/>
      <c r="G33" s="20"/>
      <c r="H33" s="20"/>
      <c r="I33" s="20"/>
      <c r="J33" s="20"/>
      <c r="K33" s="20"/>
      <c r="L33" s="20"/>
    </row>
    <row r="34" spans="1:12">
      <c r="A34" s="20"/>
      <c r="B34" s="20"/>
      <c r="C34" s="20"/>
      <c r="D34" s="20"/>
      <c r="E34" s="20"/>
      <c r="F34" s="20"/>
      <c r="G34" s="20"/>
      <c r="H34" s="20"/>
      <c r="I34" s="20"/>
      <c r="J34" s="20"/>
      <c r="K34" s="20"/>
      <c r="L34" s="20"/>
    </row>
    <row r="35" spans="1:12">
      <c r="A35" s="20"/>
      <c r="B35" s="20"/>
      <c r="C35" s="20"/>
      <c r="D35" s="20"/>
      <c r="E35" s="20"/>
      <c r="F35" s="20"/>
      <c r="G35" s="20"/>
      <c r="H35" s="20"/>
      <c r="I35" s="20"/>
      <c r="J35" s="20"/>
      <c r="K35" s="20"/>
      <c r="L35" s="20"/>
    </row>
    <row r="36" spans="1:12">
      <c r="A36" s="20"/>
      <c r="B36" s="20"/>
      <c r="C36" s="20"/>
      <c r="D36" s="20"/>
      <c r="E36" s="20"/>
      <c r="F36" s="20"/>
      <c r="G36" s="20"/>
      <c r="H36" s="20"/>
      <c r="I36" s="20"/>
      <c r="J36" s="20"/>
      <c r="K36" s="20"/>
      <c r="L36" s="20"/>
    </row>
    <row r="37" spans="1:12">
      <c r="A37" s="20"/>
      <c r="B37" s="20"/>
      <c r="C37" s="20"/>
      <c r="D37" s="20"/>
      <c r="E37" s="20"/>
      <c r="F37" s="20"/>
      <c r="G37" s="20"/>
      <c r="H37" s="20"/>
      <c r="I37" s="20"/>
      <c r="J37" s="20"/>
      <c r="K37" s="20"/>
      <c r="L37" s="20"/>
    </row>
    <row r="38" spans="1:12">
      <c r="A38" s="20"/>
      <c r="B38" s="20"/>
      <c r="C38" s="20"/>
      <c r="D38" s="20"/>
      <c r="E38" s="20"/>
      <c r="F38" s="20"/>
      <c r="G38" s="20"/>
      <c r="H38" s="20"/>
      <c r="I38" s="20"/>
      <c r="J38" s="20"/>
      <c r="K38" s="20"/>
      <c r="L38" s="20"/>
    </row>
    <row r="39" spans="1:12">
      <c r="A39" s="20"/>
      <c r="B39" s="20"/>
      <c r="C39" s="20"/>
      <c r="D39" s="20"/>
      <c r="E39" s="20"/>
      <c r="F39" s="20"/>
      <c r="G39" s="20"/>
      <c r="H39" s="20"/>
      <c r="I39" s="20"/>
      <c r="J39" s="20"/>
      <c r="K39" s="20"/>
      <c r="L39" s="20"/>
    </row>
  </sheetData>
  <mergeCells count="1">
    <mergeCell ref="A1:L3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Garrett Chappell</dc:creator>
  <cp:keywords/>
  <dc:description/>
  <cp:lastModifiedBy/>
  <cp:revision/>
  <dcterms:created xsi:type="dcterms:W3CDTF">2024-04-02T18:11:24Z</dcterms:created>
  <dcterms:modified xsi:type="dcterms:W3CDTF">2026-09-19T10:06:47Z</dcterms:modified>
  <cp:category/>
  <cp:contentStatus/>
</cp:coreProperties>
</file>